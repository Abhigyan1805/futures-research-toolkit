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2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Contract</t>
        </is>
      </c>
      <c r="B1" t="inlineStr">
        <is>
          <t>ES front contract, as of 2026-10-09</t>
        </is>
      </c>
    </row>
    <row r="2">
      <c r="A2" s="1" t="inlineStr">
        <is>
          <t>Spot (S)</t>
        </is>
      </c>
      <c r="B2" s="2" t="n">
        <v>7811.5400390625</v>
      </c>
    </row>
    <row r="3">
      <c r="A3" s="1" t="inlineStr">
        <is>
          <t>Risk-free rate r (decimal)</t>
        </is>
      </c>
      <c r="B3" s="2" t="n">
        <v>0.0423</v>
      </c>
    </row>
    <row r="4">
      <c r="A4" s="1" t="inlineStr">
        <is>
          <t>Storage cost u</t>
        </is>
      </c>
      <c r="B4" s="2" t="n">
        <v>0</v>
      </c>
    </row>
    <row r="5">
      <c r="A5" s="1" t="inlineStr">
        <is>
          <t>Income/dividend yield q</t>
        </is>
      </c>
      <c r="B5" s="2" t="n">
        <v>0.014</v>
      </c>
    </row>
    <row r="6">
      <c r="A6" s="1" t="inlineStr">
        <is>
          <t>Convenience yield c</t>
        </is>
      </c>
      <c r="B6" s="2" t="n">
        <v>0</v>
      </c>
    </row>
    <row r="7">
      <c r="A7" s="1" t="inlineStr">
        <is>
          <t>Days to expiry</t>
        </is>
      </c>
      <c r="B7" s="2" t="n">
        <v>70</v>
      </c>
    </row>
    <row r="8">
      <c r="A8" s="1" t="inlineStr">
        <is>
          <t>Base fair value (continuous)</t>
        </is>
      </c>
      <c r="B8">
        <f>B2*EXP((B3+B4-B5-B6)*B7/365)</f>
        <v/>
      </c>
    </row>
    <row r="9">
      <c r="A9" s="1" t="inlineStr">
        <is>
          <t>Base fair value (discrete)</t>
        </is>
      </c>
      <c r="B9">
        <f>B2*(1+B3+B4-B5-B6)^(B7/365)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Spot shock</t>
        </is>
      </c>
      <c r="B1" s="3" t="inlineStr">
        <is>
          <t>Rate shock (bp)</t>
        </is>
      </c>
      <c r="C1" s="3" t="inlineStr">
        <is>
          <t>Days to expiry</t>
        </is>
      </c>
      <c r="D1" s="3" t="inlineStr">
        <is>
          <t>Shocked spot</t>
        </is>
      </c>
      <c r="E1" s="3" t="inlineStr">
        <is>
          <t>Shocked r</t>
        </is>
      </c>
      <c r="F1" s="3" t="inlineStr">
        <is>
          <t>Fair value (continuous)</t>
        </is>
      </c>
      <c r="G1" s="3" t="inlineStr">
        <is>
          <t>Change vs base</t>
        </is>
      </c>
      <c r="H1" s="3" t="inlineStr">
        <is>
          <t>Fair value (discrete)</t>
        </is>
      </c>
    </row>
    <row r="2">
      <c r="A2" s="4" t="n">
        <v>-0.1</v>
      </c>
      <c r="B2" s="2" t="n">
        <v>-100</v>
      </c>
      <c r="C2" s="2" t="n">
        <v>70</v>
      </c>
      <c r="D2">
        <f>Inputs!$B$2*(1+A2)</f>
        <v/>
      </c>
      <c r="E2" s="5">
        <f>Inputs!$B$3+B2/10000</f>
        <v/>
      </c>
      <c r="F2" s="6">
        <f>D2*EXP((E2+Inputs!$B$4-Inputs!$B$5-Inputs!$B$6)*C2/365)</f>
        <v/>
      </c>
      <c r="G2" s="6">
        <f>F2-Inputs!$B$8</f>
        <v/>
      </c>
      <c r="H2" s="6">
        <f>D2*(1+(E2+Inputs!$B$4-Inputs!$B$5-Inputs!$B$6))^(C2/365)</f>
        <v/>
      </c>
    </row>
    <row r="3">
      <c r="A3" s="4" t="n">
        <v>-0.1</v>
      </c>
      <c r="B3" s="2" t="n">
        <v>-100</v>
      </c>
      <c r="C3" s="2" t="n">
        <v>30</v>
      </c>
      <c r="D3">
        <f>Inputs!$B$2*(1+A3)</f>
        <v/>
      </c>
      <c r="E3" s="5">
        <f>Inputs!$B$3+B3/10000</f>
        <v/>
      </c>
      <c r="F3" s="6">
        <f>D3*EXP((E3+Inputs!$B$4-Inputs!$B$5-Inputs!$B$6)*C3/365)</f>
        <v/>
      </c>
      <c r="G3" s="6">
        <f>F3-Inputs!$B$8</f>
        <v/>
      </c>
      <c r="H3" s="6">
        <f>D3*(1+(E3+Inputs!$B$4-Inputs!$B$5-Inputs!$B$6))^(C3/365)</f>
        <v/>
      </c>
    </row>
    <row r="4">
      <c r="A4" s="4" t="n">
        <v>-0.1</v>
      </c>
      <c r="B4" s="2" t="n">
        <v>-100</v>
      </c>
      <c r="C4" s="2" t="n">
        <v>7</v>
      </c>
      <c r="D4">
        <f>Inputs!$B$2*(1+A4)</f>
        <v/>
      </c>
      <c r="E4" s="5">
        <f>Inputs!$B$3+B4/10000</f>
        <v/>
      </c>
      <c r="F4" s="6">
        <f>D4*EXP((E4+Inputs!$B$4-Inputs!$B$5-Inputs!$B$6)*C4/365)</f>
        <v/>
      </c>
      <c r="G4" s="6">
        <f>F4-Inputs!$B$8</f>
        <v/>
      </c>
      <c r="H4" s="6">
        <f>D4*(1+(E4+Inputs!$B$4-Inputs!$B$5-Inputs!$B$6))^(C4/365)</f>
        <v/>
      </c>
    </row>
    <row r="5">
      <c r="A5" s="4" t="n">
        <v>-0.1</v>
      </c>
      <c r="B5" s="2" t="n">
        <v>-100</v>
      </c>
      <c r="C5" s="2" t="n">
        <v>0</v>
      </c>
      <c r="D5">
        <f>Inputs!$B$2*(1+A5)</f>
        <v/>
      </c>
      <c r="E5" s="5">
        <f>Inputs!$B$3+B5/10000</f>
        <v/>
      </c>
      <c r="F5" s="6">
        <f>D5*EXP((E5+Inputs!$B$4-Inputs!$B$5-Inputs!$B$6)*C5/365)</f>
        <v/>
      </c>
      <c r="G5" s="6">
        <f>F5-Inputs!$B$8</f>
        <v/>
      </c>
      <c r="H5" s="6">
        <f>D5*(1+(E5+Inputs!$B$4-Inputs!$B$5-Inputs!$B$6))^(C5/365)</f>
        <v/>
      </c>
    </row>
    <row r="6">
      <c r="A6" s="4" t="n">
        <v>-0.1</v>
      </c>
      <c r="B6" s="2" t="n">
        <v>-50</v>
      </c>
      <c r="C6" s="2" t="n">
        <v>70</v>
      </c>
      <c r="D6">
        <f>Inputs!$B$2*(1+A6)</f>
        <v/>
      </c>
      <c r="E6" s="5">
        <f>Inputs!$B$3+B6/10000</f>
        <v/>
      </c>
      <c r="F6" s="6">
        <f>D6*EXP((E6+Inputs!$B$4-Inputs!$B$5-Inputs!$B$6)*C6/365)</f>
        <v/>
      </c>
      <c r="G6" s="6">
        <f>F6-Inputs!$B$8</f>
        <v/>
      </c>
      <c r="H6" s="6">
        <f>D6*(1+(E6+Inputs!$B$4-Inputs!$B$5-Inputs!$B$6))^(C6/365)</f>
        <v/>
      </c>
    </row>
    <row r="7">
      <c r="A7" s="4" t="n">
        <v>-0.1</v>
      </c>
      <c r="B7" s="2" t="n">
        <v>-50</v>
      </c>
      <c r="C7" s="2" t="n">
        <v>30</v>
      </c>
      <c r="D7">
        <f>Inputs!$B$2*(1+A7)</f>
        <v/>
      </c>
      <c r="E7" s="5">
        <f>Inputs!$B$3+B7/10000</f>
        <v/>
      </c>
      <c r="F7" s="6">
        <f>D7*EXP((E7+Inputs!$B$4-Inputs!$B$5-Inputs!$B$6)*C7/365)</f>
        <v/>
      </c>
      <c r="G7" s="6">
        <f>F7-Inputs!$B$8</f>
        <v/>
      </c>
      <c r="H7" s="6">
        <f>D7*(1+(E7+Inputs!$B$4-Inputs!$B$5-Inputs!$B$6))^(C7/365)</f>
        <v/>
      </c>
    </row>
    <row r="8">
      <c r="A8" s="4" t="n">
        <v>-0.1</v>
      </c>
      <c r="B8" s="2" t="n">
        <v>-50</v>
      </c>
      <c r="C8" s="2" t="n">
        <v>7</v>
      </c>
      <c r="D8">
        <f>Inputs!$B$2*(1+A8)</f>
        <v/>
      </c>
      <c r="E8" s="5">
        <f>Inputs!$B$3+B8/10000</f>
        <v/>
      </c>
      <c r="F8" s="6">
        <f>D8*EXP((E8+Inputs!$B$4-Inputs!$B$5-Inputs!$B$6)*C8/365)</f>
        <v/>
      </c>
      <c r="G8" s="6">
        <f>F8-Inputs!$B$8</f>
        <v/>
      </c>
      <c r="H8" s="6">
        <f>D8*(1+(E8+Inputs!$B$4-Inputs!$B$5-Inputs!$B$6))^(C8/365)</f>
        <v/>
      </c>
    </row>
    <row r="9">
      <c r="A9" s="4" t="n">
        <v>-0.1</v>
      </c>
      <c r="B9" s="2" t="n">
        <v>-50</v>
      </c>
      <c r="C9" s="2" t="n">
        <v>0</v>
      </c>
      <c r="D9">
        <f>Inputs!$B$2*(1+A9)</f>
        <v/>
      </c>
      <c r="E9" s="5">
        <f>Inputs!$B$3+B9/10000</f>
        <v/>
      </c>
      <c r="F9" s="6">
        <f>D9*EXP((E9+Inputs!$B$4-Inputs!$B$5-Inputs!$B$6)*C9/365)</f>
        <v/>
      </c>
      <c r="G9" s="6">
        <f>F9-Inputs!$B$8</f>
        <v/>
      </c>
      <c r="H9" s="6">
        <f>D9*(1+(E9+Inputs!$B$4-Inputs!$B$5-Inputs!$B$6))^(C9/365)</f>
        <v/>
      </c>
    </row>
    <row r="10">
      <c r="A10" s="4" t="n">
        <v>-0.1</v>
      </c>
      <c r="B10" s="2" t="n">
        <v>0</v>
      </c>
      <c r="C10" s="2" t="n">
        <v>70</v>
      </c>
      <c r="D10">
        <f>Inputs!$B$2*(1+A10)</f>
        <v/>
      </c>
      <c r="E10" s="5">
        <f>Inputs!$B$3+B10/10000</f>
        <v/>
      </c>
      <c r="F10" s="6">
        <f>D10*EXP((E10+Inputs!$B$4-Inputs!$B$5-Inputs!$B$6)*C10/365)</f>
        <v/>
      </c>
      <c r="G10" s="6">
        <f>F10-Inputs!$B$8</f>
        <v/>
      </c>
      <c r="H10" s="6">
        <f>D10*(1+(E10+Inputs!$B$4-Inputs!$B$5-Inputs!$B$6))^(C10/365)</f>
        <v/>
      </c>
    </row>
    <row r="11">
      <c r="A11" s="4" t="n">
        <v>-0.1</v>
      </c>
      <c r="B11" s="2" t="n">
        <v>0</v>
      </c>
      <c r="C11" s="2" t="n">
        <v>30</v>
      </c>
      <c r="D11">
        <f>Inputs!$B$2*(1+A11)</f>
        <v/>
      </c>
      <c r="E11" s="5">
        <f>Inputs!$B$3+B11/10000</f>
        <v/>
      </c>
      <c r="F11" s="6">
        <f>D11*EXP((E11+Inputs!$B$4-Inputs!$B$5-Inputs!$B$6)*C11/365)</f>
        <v/>
      </c>
      <c r="G11" s="6">
        <f>F11-Inputs!$B$8</f>
        <v/>
      </c>
      <c r="H11" s="6">
        <f>D11*(1+(E11+Inputs!$B$4-Inputs!$B$5-Inputs!$B$6))^(C11/365)</f>
        <v/>
      </c>
    </row>
    <row r="12">
      <c r="A12" s="4" t="n">
        <v>-0.1</v>
      </c>
      <c r="B12" s="2" t="n">
        <v>0</v>
      </c>
      <c r="C12" s="2" t="n">
        <v>7</v>
      </c>
      <c r="D12">
        <f>Inputs!$B$2*(1+A12)</f>
        <v/>
      </c>
      <c r="E12" s="5">
        <f>Inputs!$B$3+B12/10000</f>
        <v/>
      </c>
      <c r="F12" s="6">
        <f>D12*EXP((E12+Inputs!$B$4-Inputs!$B$5-Inputs!$B$6)*C12/365)</f>
        <v/>
      </c>
      <c r="G12" s="6">
        <f>F12-Inputs!$B$8</f>
        <v/>
      </c>
      <c r="H12" s="6">
        <f>D12*(1+(E12+Inputs!$B$4-Inputs!$B$5-Inputs!$B$6))^(C12/365)</f>
        <v/>
      </c>
    </row>
    <row r="13">
      <c r="A13" s="4" t="n">
        <v>-0.1</v>
      </c>
      <c r="B13" s="2" t="n">
        <v>0</v>
      </c>
      <c r="C13" s="2" t="n">
        <v>0</v>
      </c>
      <c r="D13">
        <f>Inputs!$B$2*(1+A13)</f>
        <v/>
      </c>
      <c r="E13" s="5">
        <f>Inputs!$B$3+B13/10000</f>
        <v/>
      </c>
      <c r="F13" s="6">
        <f>D13*EXP((E13+Inputs!$B$4-Inputs!$B$5-Inputs!$B$6)*C13/365)</f>
        <v/>
      </c>
      <c r="G13" s="6">
        <f>F13-Inputs!$B$8</f>
        <v/>
      </c>
      <c r="H13" s="6">
        <f>D13*(1+(E13+Inputs!$B$4-Inputs!$B$5-Inputs!$B$6))^(C13/365)</f>
        <v/>
      </c>
    </row>
    <row r="14">
      <c r="A14" s="4" t="n">
        <v>-0.1</v>
      </c>
      <c r="B14" s="2" t="n">
        <v>50</v>
      </c>
      <c r="C14" s="2" t="n">
        <v>70</v>
      </c>
      <c r="D14">
        <f>Inputs!$B$2*(1+A14)</f>
        <v/>
      </c>
      <c r="E14" s="5">
        <f>Inputs!$B$3+B14/10000</f>
        <v/>
      </c>
      <c r="F14" s="6">
        <f>D14*EXP((E14+Inputs!$B$4-Inputs!$B$5-Inputs!$B$6)*C14/365)</f>
        <v/>
      </c>
      <c r="G14" s="6">
        <f>F14-Inputs!$B$8</f>
        <v/>
      </c>
      <c r="H14" s="6">
        <f>D14*(1+(E14+Inputs!$B$4-Inputs!$B$5-Inputs!$B$6))^(C14/365)</f>
        <v/>
      </c>
    </row>
    <row r="15">
      <c r="A15" s="4" t="n">
        <v>-0.1</v>
      </c>
      <c r="B15" s="2" t="n">
        <v>50</v>
      </c>
      <c r="C15" s="2" t="n">
        <v>30</v>
      </c>
      <c r="D15">
        <f>Inputs!$B$2*(1+A15)</f>
        <v/>
      </c>
      <c r="E15" s="5">
        <f>Inputs!$B$3+B15/10000</f>
        <v/>
      </c>
      <c r="F15" s="6">
        <f>D15*EXP((E15+Inputs!$B$4-Inputs!$B$5-Inputs!$B$6)*C15/365)</f>
        <v/>
      </c>
      <c r="G15" s="6">
        <f>F15-Inputs!$B$8</f>
        <v/>
      </c>
      <c r="H15" s="6">
        <f>D15*(1+(E15+Inputs!$B$4-Inputs!$B$5-Inputs!$B$6))^(C15/365)</f>
        <v/>
      </c>
    </row>
    <row r="16">
      <c r="A16" s="4" t="n">
        <v>-0.1</v>
      </c>
      <c r="B16" s="2" t="n">
        <v>50</v>
      </c>
      <c r="C16" s="2" t="n">
        <v>7</v>
      </c>
      <c r="D16">
        <f>Inputs!$B$2*(1+A16)</f>
        <v/>
      </c>
      <c r="E16" s="5">
        <f>Inputs!$B$3+B16/10000</f>
        <v/>
      </c>
      <c r="F16" s="6">
        <f>D16*EXP((E16+Inputs!$B$4-Inputs!$B$5-Inputs!$B$6)*C16/365)</f>
        <v/>
      </c>
      <c r="G16" s="6">
        <f>F16-Inputs!$B$8</f>
        <v/>
      </c>
      <c r="H16" s="6">
        <f>D16*(1+(E16+Inputs!$B$4-Inputs!$B$5-Inputs!$B$6))^(C16/365)</f>
        <v/>
      </c>
    </row>
    <row r="17">
      <c r="A17" s="4" t="n">
        <v>-0.1</v>
      </c>
      <c r="B17" s="2" t="n">
        <v>50</v>
      </c>
      <c r="C17" s="2" t="n">
        <v>0</v>
      </c>
      <c r="D17">
        <f>Inputs!$B$2*(1+A17)</f>
        <v/>
      </c>
      <c r="E17" s="5">
        <f>Inputs!$B$3+B17/10000</f>
        <v/>
      </c>
      <c r="F17" s="6">
        <f>D17*EXP((E17+Inputs!$B$4-Inputs!$B$5-Inputs!$B$6)*C17/365)</f>
        <v/>
      </c>
      <c r="G17" s="6">
        <f>F17-Inputs!$B$8</f>
        <v/>
      </c>
      <c r="H17" s="6">
        <f>D17*(1+(E17+Inputs!$B$4-Inputs!$B$5-Inputs!$B$6))^(C17/365)</f>
        <v/>
      </c>
    </row>
    <row r="18">
      <c r="A18" s="4" t="n">
        <v>-0.1</v>
      </c>
      <c r="B18" s="2" t="n">
        <v>100</v>
      </c>
      <c r="C18" s="2" t="n">
        <v>70</v>
      </c>
      <c r="D18">
        <f>Inputs!$B$2*(1+A18)</f>
        <v/>
      </c>
      <c r="E18" s="5">
        <f>Inputs!$B$3+B18/10000</f>
        <v/>
      </c>
      <c r="F18" s="6">
        <f>D18*EXP((E18+Inputs!$B$4-Inputs!$B$5-Inputs!$B$6)*C18/365)</f>
        <v/>
      </c>
      <c r="G18" s="6">
        <f>F18-Inputs!$B$8</f>
        <v/>
      </c>
      <c r="H18" s="6">
        <f>D18*(1+(E18+Inputs!$B$4-Inputs!$B$5-Inputs!$B$6))^(C18/365)</f>
        <v/>
      </c>
    </row>
    <row r="19">
      <c r="A19" s="4" t="n">
        <v>-0.1</v>
      </c>
      <c r="B19" s="2" t="n">
        <v>100</v>
      </c>
      <c r="C19" s="2" t="n">
        <v>30</v>
      </c>
      <c r="D19">
        <f>Inputs!$B$2*(1+A19)</f>
        <v/>
      </c>
      <c r="E19" s="5">
        <f>Inputs!$B$3+B19/10000</f>
        <v/>
      </c>
      <c r="F19" s="6">
        <f>D19*EXP((E19+Inputs!$B$4-Inputs!$B$5-Inputs!$B$6)*C19/365)</f>
        <v/>
      </c>
      <c r="G19" s="6">
        <f>F19-Inputs!$B$8</f>
        <v/>
      </c>
      <c r="H19" s="6">
        <f>D19*(1+(E19+Inputs!$B$4-Inputs!$B$5-Inputs!$B$6))^(C19/365)</f>
        <v/>
      </c>
    </row>
    <row r="20">
      <c r="A20" s="4" t="n">
        <v>-0.1</v>
      </c>
      <c r="B20" s="2" t="n">
        <v>100</v>
      </c>
      <c r="C20" s="2" t="n">
        <v>7</v>
      </c>
      <c r="D20">
        <f>Inputs!$B$2*(1+A20)</f>
        <v/>
      </c>
      <c r="E20" s="5">
        <f>Inputs!$B$3+B20/10000</f>
        <v/>
      </c>
      <c r="F20" s="6">
        <f>D20*EXP((E20+Inputs!$B$4-Inputs!$B$5-Inputs!$B$6)*C20/365)</f>
        <v/>
      </c>
      <c r="G20" s="6">
        <f>F20-Inputs!$B$8</f>
        <v/>
      </c>
      <c r="H20" s="6">
        <f>D20*(1+(E20+Inputs!$B$4-Inputs!$B$5-Inputs!$B$6))^(C20/365)</f>
        <v/>
      </c>
    </row>
    <row r="21">
      <c r="A21" s="4" t="n">
        <v>-0.1</v>
      </c>
      <c r="B21" s="2" t="n">
        <v>100</v>
      </c>
      <c r="C21" s="2" t="n">
        <v>0</v>
      </c>
      <c r="D21">
        <f>Inputs!$B$2*(1+A21)</f>
        <v/>
      </c>
      <c r="E21" s="5">
        <f>Inputs!$B$3+B21/10000</f>
        <v/>
      </c>
      <c r="F21" s="6">
        <f>D21*EXP((E21+Inputs!$B$4-Inputs!$B$5-Inputs!$B$6)*C21/365)</f>
        <v/>
      </c>
      <c r="G21" s="6">
        <f>F21-Inputs!$B$8</f>
        <v/>
      </c>
      <c r="H21" s="6">
        <f>D21*(1+(E21+Inputs!$B$4-Inputs!$B$5-Inputs!$B$6))^(C21/365)</f>
        <v/>
      </c>
    </row>
    <row r="22">
      <c r="A22" s="4" t="n">
        <v>-0.05</v>
      </c>
      <c r="B22" s="2" t="n">
        <v>-100</v>
      </c>
      <c r="C22" s="2" t="n">
        <v>70</v>
      </c>
      <c r="D22">
        <f>Inputs!$B$2*(1+A22)</f>
        <v/>
      </c>
      <c r="E22" s="5">
        <f>Inputs!$B$3+B22/10000</f>
        <v/>
      </c>
      <c r="F22" s="6">
        <f>D22*EXP((E22+Inputs!$B$4-Inputs!$B$5-Inputs!$B$6)*C22/365)</f>
        <v/>
      </c>
      <c r="G22" s="6">
        <f>F22-Inputs!$B$8</f>
        <v/>
      </c>
      <c r="H22" s="6">
        <f>D22*(1+(E22+Inputs!$B$4-Inputs!$B$5-Inputs!$B$6))^(C22/365)</f>
        <v/>
      </c>
    </row>
    <row r="23">
      <c r="A23" s="4" t="n">
        <v>-0.05</v>
      </c>
      <c r="B23" s="2" t="n">
        <v>-100</v>
      </c>
      <c r="C23" s="2" t="n">
        <v>30</v>
      </c>
      <c r="D23">
        <f>Inputs!$B$2*(1+A23)</f>
        <v/>
      </c>
      <c r="E23" s="5">
        <f>Inputs!$B$3+B23/10000</f>
        <v/>
      </c>
      <c r="F23" s="6">
        <f>D23*EXP((E23+Inputs!$B$4-Inputs!$B$5-Inputs!$B$6)*C23/365)</f>
        <v/>
      </c>
      <c r="G23" s="6">
        <f>F23-Inputs!$B$8</f>
        <v/>
      </c>
      <c r="H23" s="6">
        <f>D23*(1+(E23+Inputs!$B$4-Inputs!$B$5-Inputs!$B$6))^(C23/365)</f>
        <v/>
      </c>
    </row>
    <row r="24">
      <c r="A24" s="4" t="n">
        <v>-0.05</v>
      </c>
      <c r="B24" s="2" t="n">
        <v>-100</v>
      </c>
      <c r="C24" s="2" t="n">
        <v>7</v>
      </c>
      <c r="D24">
        <f>Inputs!$B$2*(1+A24)</f>
        <v/>
      </c>
      <c r="E24" s="5">
        <f>Inputs!$B$3+B24/10000</f>
        <v/>
      </c>
      <c r="F24" s="6">
        <f>D24*EXP((E24+Inputs!$B$4-Inputs!$B$5-Inputs!$B$6)*C24/365)</f>
        <v/>
      </c>
      <c r="G24" s="6">
        <f>F24-Inputs!$B$8</f>
        <v/>
      </c>
      <c r="H24" s="6">
        <f>D24*(1+(E24+Inputs!$B$4-Inputs!$B$5-Inputs!$B$6))^(C24/365)</f>
        <v/>
      </c>
    </row>
    <row r="25">
      <c r="A25" s="4" t="n">
        <v>-0.05</v>
      </c>
      <c r="B25" s="2" t="n">
        <v>-100</v>
      </c>
      <c r="C25" s="2" t="n">
        <v>0</v>
      </c>
      <c r="D25">
        <f>Inputs!$B$2*(1+A25)</f>
        <v/>
      </c>
      <c r="E25" s="5">
        <f>Inputs!$B$3+B25/10000</f>
        <v/>
      </c>
      <c r="F25" s="6">
        <f>D25*EXP((E25+Inputs!$B$4-Inputs!$B$5-Inputs!$B$6)*C25/365)</f>
        <v/>
      </c>
      <c r="G25" s="6">
        <f>F25-Inputs!$B$8</f>
        <v/>
      </c>
      <c r="H25" s="6">
        <f>D25*(1+(E25+Inputs!$B$4-Inputs!$B$5-Inputs!$B$6))^(C25/365)</f>
        <v/>
      </c>
    </row>
    <row r="26">
      <c r="A26" s="4" t="n">
        <v>-0.05</v>
      </c>
      <c r="B26" s="2" t="n">
        <v>-50</v>
      </c>
      <c r="C26" s="2" t="n">
        <v>70</v>
      </c>
      <c r="D26">
        <f>Inputs!$B$2*(1+A26)</f>
        <v/>
      </c>
      <c r="E26" s="5">
        <f>Inputs!$B$3+B26/10000</f>
        <v/>
      </c>
      <c r="F26" s="6">
        <f>D26*EXP((E26+Inputs!$B$4-Inputs!$B$5-Inputs!$B$6)*C26/365)</f>
        <v/>
      </c>
      <c r="G26" s="6">
        <f>F26-Inputs!$B$8</f>
        <v/>
      </c>
      <c r="H26" s="6">
        <f>D26*(1+(E26+Inputs!$B$4-Inputs!$B$5-Inputs!$B$6))^(C26/365)</f>
        <v/>
      </c>
    </row>
    <row r="27">
      <c r="A27" s="4" t="n">
        <v>-0.05</v>
      </c>
      <c r="B27" s="2" t="n">
        <v>-50</v>
      </c>
      <c r="C27" s="2" t="n">
        <v>30</v>
      </c>
      <c r="D27">
        <f>Inputs!$B$2*(1+A27)</f>
        <v/>
      </c>
      <c r="E27" s="5">
        <f>Inputs!$B$3+B27/10000</f>
        <v/>
      </c>
      <c r="F27" s="6">
        <f>D27*EXP((E27+Inputs!$B$4-Inputs!$B$5-Inputs!$B$6)*C27/365)</f>
        <v/>
      </c>
      <c r="G27" s="6">
        <f>F27-Inputs!$B$8</f>
        <v/>
      </c>
      <c r="H27" s="6">
        <f>D27*(1+(E27+Inputs!$B$4-Inputs!$B$5-Inputs!$B$6))^(C27/365)</f>
        <v/>
      </c>
    </row>
    <row r="28">
      <c r="A28" s="4" t="n">
        <v>-0.05</v>
      </c>
      <c r="B28" s="2" t="n">
        <v>-50</v>
      </c>
      <c r="C28" s="2" t="n">
        <v>7</v>
      </c>
      <c r="D28">
        <f>Inputs!$B$2*(1+A28)</f>
        <v/>
      </c>
      <c r="E28" s="5">
        <f>Inputs!$B$3+B28/10000</f>
        <v/>
      </c>
      <c r="F28" s="6">
        <f>D28*EXP((E28+Inputs!$B$4-Inputs!$B$5-Inputs!$B$6)*C28/365)</f>
        <v/>
      </c>
      <c r="G28" s="6">
        <f>F28-Inputs!$B$8</f>
        <v/>
      </c>
      <c r="H28" s="6">
        <f>D28*(1+(E28+Inputs!$B$4-Inputs!$B$5-Inputs!$B$6))^(C28/365)</f>
        <v/>
      </c>
    </row>
    <row r="29">
      <c r="A29" s="4" t="n">
        <v>-0.05</v>
      </c>
      <c r="B29" s="2" t="n">
        <v>-50</v>
      </c>
      <c r="C29" s="2" t="n">
        <v>0</v>
      </c>
      <c r="D29">
        <f>Inputs!$B$2*(1+A29)</f>
        <v/>
      </c>
      <c r="E29" s="5">
        <f>Inputs!$B$3+B29/10000</f>
        <v/>
      </c>
      <c r="F29" s="6">
        <f>D29*EXP((E29+Inputs!$B$4-Inputs!$B$5-Inputs!$B$6)*C29/365)</f>
        <v/>
      </c>
      <c r="G29" s="6">
        <f>F29-Inputs!$B$8</f>
        <v/>
      </c>
      <c r="H29" s="6">
        <f>D29*(1+(E29+Inputs!$B$4-Inputs!$B$5-Inputs!$B$6))^(C29/365)</f>
        <v/>
      </c>
    </row>
    <row r="30">
      <c r="A30" s="4" t="n">
        <v>-0.05</v>
      </c>
      <c r="B30" s="2" t="n">
        <v>0</v>
      </c>
      <c r="C30" s="2" t="n">
        <v>70</v>
      </c>
      <c r="D30">
        <f>Inputs!$B$2*(1+A30)</f>
        <v/>
      </c>
      <c r="E30" s="5">
        <f>Inputs!$B$3+B30/10000</f>
        <v/>
      </c>
      <c r="F30" s="6">
        <f>D30*EXP((E30+Inputs!$B$4-Inputs!$B$5-Inputs!$B$6)*C30/365)</f>
        <v/>
      </c>
      <c r="G30" s="6">
        <f>F30-Inputs!$B$8</f>
        <v/>
      </c>
      <c r="H30" s="6">
        <f>D30*(1+(E30+Inputs!$B$4-Inputs!$B$5-Inputs!$B$6))^(C30/365)</f>
        <v/>
      </c>
    </row>
    <row r="31">
      <c r="A31" s="4" t="n">
        <v>-0.05</v>
      </c>
      <c r="B31" s="2" t="n">
        <v>0</v>
      </c>
      <c r="C31" s="2" t="n">
        <v>30</v>
      </c>
      <c r="D31">
        <f>Inputs!$B$2*(1+A31)</f>
        <v/>
      </c>
      <c r="E31" s="5">
        <f>Inputs!$B$3+B31/10000</f>
        <v/>
      </c>
      <c r="F31" s="6">
        <f>D31*EXP((E31+Inputs!$B$4-Inputs!$B$5-Inputs!$B$6)*C31/365)</f>
        <v/>
      </c>
      <c r="G31" s="6">
        <f>F31-Inputs!$B$8</f>
        <v/>
      </c>
      <c r="H31" s="6">
        <f>D31*(1+(E31+Inputs!$B$4-Inputs!$B$5-Inputs!$B$6))^(C31/365)</f>
        <v/>
      </c>
    </row>
    <row r="32">
      <c r="A32" s="4" t="n">
        <v>-0.05</v>
      </c>
      <c r="B32" s="2" t="n">
        <v>0</v>
      </c>
      <c r="C32" s="2" t="n">
        <v>7</v>
      </c>
      <c r="D32">
        <f>Inputs!$B$2*(1+A32)</f>
        <v/>
      </c>
      <c r="E32" s="5">
        <f>Inputs!$B$3+B32/10000</f>
        <v/>
      </c>
      <c r="F32" s="6">
        <f>D32*EXP((E32+Inputs!$B$4-Inputs!$B$5-Inputs!$B$6)*C32/365)</f>
        <v/>
      </c>
      <c r="G32" s="6">
        <f>F32-Inputs!$B$8</f>
        <v/>
      </c>
      <c r="H32" s="6">
        <f>D32*(1+(E32+Inputs!$B$4-Inputs!$B$5-Inputs!$B$6))^(C32/365)</f>
        <v/>
      </c>
    </row>
    <row r="33">
      <c r="A33" s="4" t="n">
        <v>-0.05</v>
      </c>
      <c r="B33" s="2" t="n">
        <v>0</v>
      </c>
      <c r="C33" s="2" t="n">
        <v>0</v>
      </c>
      <c r="D33">
        <f>Inputs!$B$2*(1+A33)</f>
        <v/>
      </c>
      <c r="E33" s="5">
        <f>Inputs!$B$3+B33/10000</f>
        <v/>
      </c>
      <c r="F33" s="6">
        <f>D33*EXP((E33+Inputs!$B$4-Inputs!$B$5-Inputs!$B$6)*C33/365)</f>
        <v/>
      </c>
      <c r="G33" s="6">
        <f>F33-Inputs!$B$8</f>
        <v/>
      </c>
      <c r="H33" s="6">
        <f>D33*(1+(E33+Inputs!$B$4-Inputs!$B$5-Inputs!$B$6))^(C33/365)</f>
        <v/>
      </c>
    </row>
    <row r="34">
      <c r="A34" s="4" t="n">
        <v>-0.05</v>
      </c>
      <c r="B34" s="2" t="n">
        <v>50</v>
      </c>
      <c r="C34" s="2" t="n">
        <v>70</v>
      </c>
      <c r="D34">
        <f>Inputs!$B$2*(1+A34)</f>
        <v/>
      </c>
      <c r="E34" s="5">
        <f>Inputs!$B$3+B34/10000</f>
        <v/>
      </c>
      <c r="F34" s="6">
        <f>D34*EXP((E34+Inputs!$B$4-Inputs!$B$5-Inputs!$B$6)*C34/365)</f>
        <v/>
      </c>
      <c r="G34" s="6">
        <f>F34-Inputs!$B$8</f>
        <v/>
      </c>
      <c r="H34" s="6">
        <f>D34*(1+(E34+Inputs!$B$4-Inputs!$B$5-Inputs!$B$6))^(C34/365)</f>
        <v/>
      </c>
    </row>
    <row r="35">
      <c r="A35" s="4" t="n">
        <v>-0.05</v>
      </c>
      <c r="B35" s="2" t="n">
        <v>50</v>
      </c>
      <c r="C35" s="2" t="n">
        <v>30</v>
      </c>
      <c r="D35">
        <f>Inputs!$B$2*(1+A35)</f>
        <v/>
      </c>
      <c r="E35" s="5">
        <f>Inputs!$B$3+B35/10000</f>
        <v/>
      </c>
      <c r="F35" s="6">
        <f>D35*EXP((E35+Inputs!$B$4-Inputs!$B$5-Inputs!$B$6)*C35/365)</f>
        <v/>
      </c>
      <c r="G35" s="6">
        <f>F35-Inputs!$B$8</f>
        <v/>
      </c>
      <c r="H35" s="6">
        <f>D35*(1+(E35+Inputs!$B$4-Inputs!$B$5-Inputs!$B$6))^(C35/365)</f>
        <v/>
      </c>
    </row>
    <row r="36">
      <c r="A36" s="4" t="n">
        <v>-0.05</v>
      </c>
      <c r="B36" s="2" t="n">
        <v>50</v>
      </c>
      <c r="C36" s="2" t="n">
        <v>7</v>
      </c>
      <c r="D36">
        <f>Inputs!$B$2*(1+A36)</f>
        <v/>
      </c>
      <c r="E36" s="5">
        <f>Inputs!$B$3+B36/10000</f>
        <v/>
      </c>
      <c r="F36" s="6">
        <f>D36*EXP((E36+Inputs!$B$4-Inputs!$B$5-Inputs!$B$6)*C36/365)</f>
        <v/>
      </c>
      <c r="G36" s="6">
        <f>F36-Inputs!$B$8</f>
        <v/>
      </c>
      <c r="H36" s="6">
        <f>D36*(1+(E36+Inputs!$B$4-Inputs!$B$5-Inputs!$B$6))^(C36/365)</f>
        <v/>
      </c>
    </row>
    <row r="37">
      <c r="A37" s="4" t="n">
        <v>-0.05</v>
      </c>
      <c r="B37" s="2" t="n">
        <v>50</v>
      </c>
      <c r="C37" s="2" t="n">
        <v>0</v>
      </c>
      <c r="D37">
        <f>Inputs!$B$2*(1+A37)</f>
        <v/>
      </c>
      <c r="E37" s="5">
        <f>Inputs!$B$3+B37/10000</f>
        <v/>
      </c>
      <c r="F37" s="6">
        <f>D37*EXP((E37+Inputs!$B$4-Inputs!$B$5-Inputs!$B$6)*C37/365)</f>
        <v/>
      </c>
      <c r="G37" s="6">
        <f>F37-Inputs!$B$8</f>
        <v/>
      </c>
      <c r="H37" s="6">
        <f>D37*(1+(E37+Inputs!$B$4-Inputs!$B$5-Inputs!$B$6))^(C37/365)</f>
        <v/>
      </c>
    </row>
    <row r="38">
      <c r="A38" s="4" t="n">
        <v>-0.05</v>
      </c>
      <c r="B38" s="2" t="n">
        <v>100</v>
      </c>
      <c r="C38" s="2" t="n">
        <v>70</v>
      </c>
      <c r="D38">
        <f>Inputs!$B$2*(1+A38)</f>
        <v/>
      </c>
      <c r="E38" s="5">
        <f>Inputs!$B$3+B38/10000</f>
        <v/>
      </c>
      <c r="F38" s="6">
        <f>D38*EXP((E38+Inputs!$B$4-Inputs!$B$5-Inputs!$B$6)*C38/365)</f>
        <v/>
      </c>
      <c r="G38" s="6">
        <f>F38-Inputs!$B$8</f>
        <v/>
      </c>
      <c r="H38" s="6">
        <f>D38*(1+(E38+Inputs!$B$4-Inputs!$B$5-Inputs!$B$6))^(C38/365)</f>
        <v/>
      </c>
    </row>
    <row r="39">
      <c r="A39" s="4" t="n">
        <v>-0.05</v>
      </c>
      <c r="B39" s="2" t="n">
        <v>100</v>
      </c>
      <c r="C39" s="2" t="n">
        <v>30</v>
      </c>
      <c r="D39">
        <f>Inputs!$B$2*(1+A39)</f>
        <v/>
      </c>
      <c r="E39" s="5">
        <f>Inputs!$B$3+B39/10000</f>
        <v/>
      </c>
      <c r="F39" s="6">
        <f>D39*EXP((E39+Inputs!$B$4-Inputs!$B$5-Inputs!$B$6)*C39/365)</f>
        <v/>
      </c>
      <c r="G39" s="6">
        <f>F39-Inputs!$B$8</f>
        <v/>
      </c>
      <c r="H39" s="6">
        <f>D39*(1+(E39+Inputs!$B$4-Inputs!$B$5-Inputs!$B$6))^(C39/365)</f>
        <v/>
      </c>
    </row>
    <row r="40">
      <c r="A40" s="4" t="n">
        <v>-0.05</v>
      </c>
      <c r="B40" s="2" t="n">
        <v>100</v>
      </c>
      <c r="C40" s="2" t="n">
        <v>7</v>
      </c>
      <c r="D40">
        <f>Inputs!$B$2*(1+A40)</f>
        <v/>
      </c>
      <c r="E40" s="5">
        <f>Inputs!$B$3+B40/10000</f>
        <v/>
      </c>
      <c r="F40" s="6">
        <f>D40*EXP((E40+Inputs!$B$4-Inputs!$B$5-Inputs!$B$6)*C40/365)</f>
        <v/>
      </c>
      <c r="G40" s="6">
        <f>F40-Inputs!$B$8</f>
        <v/>
      </c>
      <c r="H40" s="6">
        <f>D40*(1+(E40+Inputs!$B$4-Inputs!$B$5-Inputs!$B$6))^(C40/365)</f>
        <v/>
      </c>
    </row>
    <row r="41">
      <c r="A41" s="4" t="n">
        <v>-0.05</v>
      </c>
      <c r="B41" s="2" t="n">
        <v>100</v>
      </c>
      <c r="C41" s="2" t="n">
        <v>0</v>
      </c>
      <c r="D41">
        <f>Inputs!$B$2*(1+A41)</f>
        <v/>
      </c>
      <c r="E41" s="5">
        <f>Inputs!$B$3+B41/10000</f>
        <v/>
      </c>
      <c r="F41" s="6">
        <f>D41*EXP((E41+Inputs!$B$4-Inputs!$B$5-Inputs!$B$6)*C41/365)</f>
        <v/>
      </c>
      <c r="G41" s="6">
        <f>F41-Inputs!$B$8</f>
        <v/>
      </c>
      <c r="H41" s="6">
        <f>D41*(1+(E41+Inputs!$B$4-Inputs!$B$5-Inputs!$B$6))^(C41/365)</f>
        <v/>
      </c>
    </row>
    <row r="42">
      <c r="A42" s="4" t="n">
        <v>0</v>
      </c>
      <c r="B42" s="2" t="n">
        <v>-100</v>
      </c>
      <c r="C42" s="2" t="n">
        <v>70</v>
      </c>
      <c r="D42">
        <f>Inputs!$B$2*(1+A42)</f>
        <v/>
      </c>
      <c r="E42" s="5">
        <f>Inputs!$B$3+B42/10000</f>
        <v/>
      </c>
      <c r="F42" s="6">
        <f>D42*EXP((E42+Inputs!$B$4-Inputs!$B$5-Inputs!$B$6)*C42/365)</f>
        <v/>
      </c>
      <c r="G42" s="6">
        <f>F42-Inputs!$B$8</f>
        <v/>
      </c>
      <c r="H42" s="6">
        <f>D42*(1+(E42+Inputs!$B$4-Inputs!$B$5-Inputs!$B$6))^(C42/365)</f>
        <v/>
      </c>
    </row>
    <row r="43">
      <c r="A43" s="4" t="n">
        <v>0</v>
      </c>
      <c r="B43" s="2" t="n">
        <v>-100</v>
      </c>
      <c r="C43" s="2" t="n">
        <v>30</v>
      </c>
      <c r="D43">
        <f>Inputs!$B$2*(1+A43)</f>
        <v/>
      </c>
      <c r="E43" s="5">
        <f>Inputs!$B$3+B43/10000</f>
        <v/>
      </c>
      <c r="F43" s="6">
        <f>D43*EXP((E43+Inputs!$B$4-Inputs!$B$5-Inputs!$B$6)*C43/365)</f>
        <v/>
      </c>
      <c r="G43" s="6">
        <f>F43-Inputs!$B$8</f>
        <v/>
      </c>
      <c r="H43" s="6">
        <f>D43*(1+(E43+Inputs!$B$4-Inputs!$B$5-Inputs!$B$6))^(C43/365)</f>
        <v/>
      </c>
    </row>
    <row r="44">
      <c r="A44" s="4" t="n">
        <v>0</v>
      </c>
      <c r="B44" s="2" t="n">
        <v>-100</v>
      </c>
      <c r="C44" s="2" t="n">
        <v>7</v>
      </c>
      <c r="D44">
        <f>Inputs!$B$2*(1+A44)</f>
        <v/>
      </c>
      <c r="E44" s="5">
        <f>Inputs!$B$3+B44/10000</f>
        <v/>
      </c>
      <c r="F44" s="6">
        <f>D44*EXP((E44+Inputs!$B$4-Inputs!$B$5-Inputs!$B$6)*C44/365)</f>
        <v/>
      </c>
      <c r="G44" s="6">
        <f>F44-Inputs!$B$8</f>
        <v/>
      </c>
      <c r="H44" s="6">
        <f>D44*(1+(E44+Inputs!$B$4-Inputs!$B$5-Inputs!$B$6))^(C44/365)</f>
        <v/>
      </c>
    </row>
    <row r="45">
      <c r="A45" s="4" t="n">
        <v>0</v>
      </c>
      <c r="B45" s="2" t="n">
        <v>-100</v>
      </c>
      <c r="C45" s="2" t="n">
        <v>0</v>
      </c>
      <c r="D45">
        <f>Inputs!$B$2*(1+A45)</f>
        <v/>
      </c>
      <c r="E45" s="5">
        <f>Inputs!$B$3+B45/10000</f>
        <v/>
      </c>
      <c r="F45" s="6">
        <f>D45*EXP((E45+Inputs!$B$4-Inputs!$B$5-Inputs!$B$6)*C45/365)</f>
        <v/>
      </c>
      <c r="G45" s="6">
        <f>F45-Inputs!$B$8</f>
        <v/>
      </c>
      <c r="H45" s="6">
        <f>D45*(1+(E45+Inputs!$B$4-Inputs!$B$5-Inputs!$B$6))^(C45/365)</f>
        <v/>
      </c>
    </row>
    <row r="46">
      <c r="A46" s="4" t="n">
        <v>0</v>
      </c>
      <c r="B46" s="2" t="n">
        <v>-50</v>
      </c>
      <c r="C46" s="2" t="n">
        <v>70</v>
      </c>
      <c r="D46">
        <f>Inputs!$B$2*(1+A46)</f>
        <v/>
      </c>
      <c r="E46" s="5">
        <f>Inputs!$B$3+B46/10000</f>
        <v/>
      </c>
      <c r="F46" s="6">
        <f>D46*EXP((E46+Inputs!$B$4-Inputs!$B$5-Inputs!$B$6)*C46/365)</f>
        <v/>
      </c>
      <c r="G46" s="6">
        <f>F46-Inputs!$B$8</f>
        <v/>
      </c>
      <c r="H46" s="6">
        <f>D46*(1+(E46+Inputs!$B$4-Inputs!$B$5-Inputs!$B$6))^(C46/365)</f>
        <v/>
      </c>
    </row>
    <row r="47">
      <c r="A47" s="4" t="n">
        <v>0</v>
      </c>
      <c r="B47" s="2" t="n">
        <v>-50</v>
      </c>
      <c r="C47" s="2" t="n">
        <v>30</v>
      </c>
      <c r="D47">
        <f>Inputs!$B$2*(1+A47)</f>
        <v/>
      </c>
      <c r="E47" s="5">
        <f>Inputs!$B$3+B47/10000</f>
        <v/>
      </c>
      <c r="F47" s="6">
        <f>D47*EXP((E47+Inputs!$B$4-Inputs!$B$5-Inputs!$B$6)*C47/365)</f>
        <v/>
      </c>
      <c r="G47" s="6">
        <f>F47-Inputs!$B$8</f>
        <v/>
      </c>
      <c r="H47" s="6">
        <f>D47*(1+(E47+Inputs!$B$4-Inputs!$B$5-Inputs!$B$6))^(C47/365)</f>
        <v/>
      </c>
    </row>
    <row r="48">
      <c r="A48" s="4" t="n">
        <v>0</v>
      </c>
      <c r="B48" s="2" t="n">
        <v>-50</v>
      </c>
      <c r="C48" s="2" t="n">
        <v>7</v>
      </c>
      <c r="D48">
        <f>Inputs!$B$2*(1+A48)</f>
        <v/>
      </c>
      <c r="E48" s="5">
        <f>Inputs!$B$3+B48/10000</f>
        <v/>
      </c>
      <c r="F48" s="6">
        <f>D48*EXP((E48+Inputs!$B$4-Inputs!$B$5-Inputs!$B$6)*C48/365)</f>
        <v/>
      </c>
      <c r="G48" s="6">
        <f>F48-Inputs!$B$8</f>
        <v/>
      </c>
      <c r="H48" s="6">
        <f>D48*(1+(E48+Inputs!$B$4-Inputs!$B$5-Inputs!$B$6))^(C48/365)</f>
        <v/>
      </c>
    </row>
    <row r="49">
      <c r="A49" s="4" t="n">
        <v>0</v>
      </c>
      <c r="B49" s="2" t="n">
        <v>-50</v>
      </c>
      <c r="C49" s="2" t="n">
        <v>0</v>
      </c>
      <c r="D49">
        <f>Inputs!$B$2*(1+A49)</f>
        <v/>
      </c>
      <c r="E49" s="5">
        <f>Inputs!$B$3+B49/10000</f>
        <v/>
      </c>
      <c r="F49" s="6">
        <f>D49*EXP((E49+Inputs!$B$4-Inputs!$B$5-Inputs!$B$6)*C49/365)</f>
        <v/>
      </c>
      <c r="G49" s="6">
        <f>F49-Inputs!$B$8</f>
        <v/>
      </c>
      <c r="H49" s="6">
        <f>D49*(1+(E49+Inputs!$B$4-Inputs!$B$5-Inputs!$B$6))^(C49/365)</f>
        <v/>
      </c>
    </row>
    <row r="50">
      <c r="A50" s="4" t="n">
        <v>0</v>
      </c>
      <c r="B50" s="2" t="n">
        <v>0</v>
      </c>
      <c r="C50" s="2" t="n">
        <v>70</v>
      </c>
      <c r="D50">
        <f>Inputs!$B$2*(1+A50)</f>
        <v/>
      </c>
      <c r="E50" s="5">
        <f>Inputs!$B$3+B50/10000</f>
        <v/>
      </c>
      <c r="F50" s="6">
        <f>D50*EXP((E50+Inputs!$B$4-Inputs!$B$5-Inputs!$B$6)*C50/365)</f>
        <v/>
      </c>
      <c r="G50" s="6">
        <f>F50-Inputs!$B$8</f>
        <v/>
      </c>
      <c r="H50" s="6">
        <f>D50*(1+(E50+Inputs!$B$4-Inputs!$B$5-Inputs!$B$6))^(C50/365)</f>
        <v/>
      </c>
    </row>
    <row r="51">
      <c r="A51" s="4" t="n">
        <v>0</v>
      </c>
      <c r="B51" s="2" t="n">
        <v>0</v>
      </c>
      <c r="C51" s="2" t="n">
        <v>30</v>
      </c>
      <c r="D51">
        <f>Inputs!$B$2*(1+A51)</f>
        <v/>
      </c>
      <c r="E51" s="5">
        <f>Inputs!$B$3+B51/10000</f>
        <v/>
      </c>
      <c r="F51" s="6">
        <f>D51*EXP((E51+Inputs!$B$4-Inputs!$B$5-Inputs!$B$6)*C51/365)</f>
        <v/>
      </c>
      <c r="G51" s="6">
        <f>F51-Inputs!$B$8</f>
        <v/>
      </c>
      <c r="H51" s="6">
        <f>D51*(1+(E51+Inputs!$B$4-Inputs!$B$5-Inputs!$B$6))^(C51/365)</f>
        <v/>
      </c>
    </row>
    <row r="52">
      <c r="A52" s="4" t="n">
        <v>0</v>
      </c>
      <c r="B52" s="2" t="n">
        <v>0</v>
      </c>
      <c r="C52" s="2" t="n">
        <v>7</v>
      </c>
      <c r="D52">
        <f>Inputs!$B$2*(1+A52)</f>
        <v/>
      </c>
      <c r="E52" s="5">
        <f>Inputs!$B$3+B52/10000</f>
        <v/>
      </c>
      <c r="F52" s="6">
        <f>D52*EXP((E52+Inputs!$B$4-Inputs!$B$5-Inputs!$B$6)*C52/365)</f>
        <v/>
      </c>
      <c r="G52" s="6">
        <f>F52-Inputs!$B$8</f>
        <v/>
      </c>
      <c r="H52" s="6">
        <f>D52*(1+(E52+Inputs!$B$4-Inputs!$B$5-Inputs!$B$6))^(C52/365)</f>
        <v/>
      </c>
    </row>
    <row r="53">
      <c r="A53" s="4" t="n">
        <v>0</v>
      </c>
      <c r="B53" s="2" t="n">
        <v>0</v>
      </c>
      <c r="C53" s="2" t="n">
        <v>0</v>
      </c>
      <c r="D53">
        <f>Inputs!$B$2*(1+A53)</f>
        <v/>
      </c>
      <c r="E53" s="5">
        <f>Inputs!$B$3+B53/10000</f>
        <v/>
      </c>
      <c r="F53" s="6">
        <f>D53*EXP((E53+Inputs!$B$4-Inputs!$B$5-Inputs!$B$6)*C53/365)</f>
        <v/>
      </c>
      <c r="G53" s="6">
        <f>F53-Inputs!$B$8</f>
        <v/>
      </c>
      <c r="H53" s="6">
        <f>D53*(1+(E53+Inputs!$B$4-Inputs!$B$5-Inputs!$B$6))^(C53/365)</f>
        <v/>
      </c>
    </row>
    <row r="54">
      <c r="A54" s="4" t="n">
        <v>0</v>
      </c>
      <c r="B54" s="2" t="n">
        <v>50</v>
      </c>
      <c r="C54" s="2" t="n">
        <v>70</v>
      </c>
      <c r="D54">
        <f>Inputs!$B$2*(1+A54)</f>
        <v/>
      </c>
      <c r="E54" s="5">
        <f>Inputs!$B$3+B54/10000</f>
        <v/>
      </c>
      <c r="F54" s="6">
        <f>D54*EXP((E54+Inputs!$B$4-Inputs!$B$5-Inputs!$B$6)*C54/365)</f>
        <v/>
      </c>
      <c r="G54" s="6">
        <f>F54-Inputs!$B$8</f>
        <v/>
      </c>
      <c r="H54" s="6">
        <f>D54*(1+(E54+Inputs!$B$4-Inputs!$B$5-Inputs!$B$6))^(C54/365)</f>
        <v/>
      </c>
    </row>
    <row r="55">
      <c r="A55" s="4" t="n">
        <v>0</v>
      </c>
      <c r="B55" s="2" t="n">
        <v>50</v>
      </c>
      <c r="C55" s="2" t="n">
        <v>30</v>
      </c>
      <c r="D55">
        <f>Inputs!$B$2*(1+A55)</f>
        <v/>
      </c>
      <c r="E55" s="5">
        <f>Inputs!$B$3+B55/10000</f>
        <v/>
      </c>
      <c r="F55" s="6">
        <f>D55*EXP((E55+Inputs!$B$4-Inputs!$B$5-Inputs!$B$6)*C55/365)</f>
        <v/>
      </c>
      <c r="G55" s="6">
        <f>F55-Inputs!$B$8</f>
        <v/>
      </c>
      <c r="H55" s="6">
        <f>D55*(1+(E55+Inputs!$B$4-Inputs!$B$5-Inputs!$B$6))^(C55/365)</f>
        <v/>
      </c>
    </row>
    <row r="56">
      <c r="A56" s="4" t="n">
        <v>0</v>
      </c>
      <c r="B56" s="2" t="n">
        <v>50</v>
      </c>
      <c r="C56" s="2" t="n">
        <v>7</v>
      </c>
      <c r="D56">
        <f>Inputs!$B$2*(1+A56)</f>
        <v/>
      </c>
      <c r="E56" s="5">
        <f>Inputs!$B$3+B56/10000</f>
        <v/>
      </c>
      <c r="F56" s="6">
        <f>D56*EXP((E56+Inputs!$B$4-Inputs!$B$5-Inputs!$B$6)*C56/365)</f>
        <v/>
      </c>
      <c r="G56" s="6">
        <f>F56-Inputs!$B$8</f>
        <v/>
      </c>
      <c r="H56" s="6">
        <f>D56*(1+(E56+Inputs!$B$4-Inputs!$B$5-Inputs!$B$6))^(C56/365)</f>
        <v/>
      </c>
    </row>
    <row r="57">
      <c r="A57" s="4" t="n">
        <v>0</v>
      </c>
      <c r="B57" s="2" t="n">
        <v>50</v>
      </c>
      <c r="C57" s="2" t="n">
        <v>0</v>
      </c>
      <c r="D57">
        <f>Inputs!$B$2*(1+A57)</f>
        <v/>
      </c>
      <c r="E57" s="5">
        <f>Inputs!$B$3+B57/10000</f>
        <v/>
      </c>
      <c r="F57" s="6">
        <f>D57*EXP((E57+Inputs!$B$4-Inputs!$B$5-Inputs!$B$6)*C57/365)</f>
        <v/>
      </c>
      <c r="G57" s="6">
        <f>F57-Inputs!$B$8</f>
        <v/>
      </c>
      <c r="H57" s="6">
        <f>D57*(1+(E57+Inputs!$B$4-Inputs!$B$5-Inputs!$B$6))^(C57/365)</f>
        <v/>
      </c>
    </row>
    <row r="58">
      <c r="A58" s="4" t="n">
        <v>0</v>
      </c>
      <c r="B58" s="2" t="n">
        <v>100</v>
      </c>
      <c r="C58" s="2" t="n">
        <v>70</v>
      </c>
      <c r="D58">
        <f>Inputs!$B$2*(1+A58)</f>
        <v/>
      </c>
      <c r="E58" s="5">
        <f>Inputs!$B$3+B58/10000</f>
        <v/>
      </c>
      <c r="F58" s="6">
        <f>D58*EXP((E58+Inputs!$B$4-Inputs!$B$5-Inputs!$B$6)*C58/365)</f>
        <v/>
      </c>
      <c r="G58" s="6">
        <f>F58-Inputs!$B$8</f>
        <v/>
      </c>
      <c r="H58" s="6">
        <f>D58*(1+(E58+Inputs!$B$4-Inputs!$B$5-Inputs!$B$6))^(C58/365)</f>
        <v/>
      </c>
    </row>
    <row r="59">
      <c r="A59" s="4" t="n">
        <v>0</v>
      </c>
      <c r="B59" s="2" t="n">
        <v>100</v>
      </c>
      <c r="C59" s="2" t="n">
        <v>30</v>
      </c>
      <c r="D59">
        <f>Inputs!$B$2*(1+A59)</f>
        <v/>
      </c>
      <c r="E59" s="5">
        <f>Inputs!$B$3+B59/10000</f>
        <v/>
      </c>
      <c r="F59" s="6">
        <f>D59*EXP((E59+Inputs!$B$4-Inputs!$B$5-Inputs!$B$6)*C59/365)</f>
        <v/>
      </c>
      <c r="G59" s="6">
        <f>F59-Inputs!$B$8</f>
        <v/>
      </c>
      <c r="H59" s="6">
        <f>D59*(1+(E59+Inputs!$B$4-Inputs!$B$5-Inputs!$B$6))^(C59/365)</f>
        <v/>
      </c>
    </row>
    <row r="60">
      <c r="A60" s="4" t="n">
        <v>0</v>
      </c>
      <c r="B60" s="2" t="n">
        <v>100</v>
      </c>
      <c r="C60" s="2" t="n">
        <v>7</v>
      </c>
      <c r="D60">
        <f>Inputs!$B$2*(1+A60)</f>
        <v/>
      </c>
      <c r="E60" s="5">
        <f>Inputs!$B$3+B60/10000</f>
        <v/>
      </c>
      <c r="F60" s="6">
        <f>D60*EXP((E60+Inputs!$B$4-Inputs!$B$5-Inputs!$B$6)*C60/365)</f>
        <v/>
      </c>
      <c r="G60" s="6">
        <f>F60-Inputs!$B$8</f>
        <v/>
      </c>
      <c r="H60" s="6">
        <f>D60*(1+(E60+Inputs!$B$4-Inputs!$B$5-Inputs!$B$6))^(C60/365)</f>
        <v/>
      </c>
    </row>
    <row r="61">
      <c r="A61" s="4" t="n">
        <v>0</v>
      </c>
      <c r="B61" s="2" t="n">
        <v>100</v>
      </c>
      <c r="C61" s="2" t="n">
        <v>0</v>
      </c>
      <c r="D61">
        <f>Inputs!$B$2*(1+A61)</f>
        <v/>
      </c>
      <c r="E61" s="5">
        <f>Inputs!$B$3+B61/10000</f>
        <v/>
      </c>
      <c r="F61" s="6">
        <f>D61*EXP((E61+Inputs!$B$4-Inputs!$B$5-Inputs!$B$6)*C61/365)</f>
        <v/>
      </c>
      <c r="G61" s="6">
        <f>F61-Inputs!$B$8</f>
        <v/>
      </c>
      <c r="H61" s="6">
        <f>D61*(1+(E61+Inputs!$B$4-Inputs!$B$5-Inputs!$B$6))^(C61/365)</f>
        <v/>
      </c>
    </row>
    <row r="62">
      <c r="A62" s="4" t="n">
        <v>0.05</v>
      </c>
      <c r="B62" s="2" t="n">
        <v>-100</v>
      </c>
      <c r="C62" s="2" t="n">
        <v>70</v>
      </c>
      <c r="D62">
        <f>Inputs!$B$2*(1+A62)</f>
        <v/>
      </c>
      <c r="E62" s="5">
        <f>Inputs!$B$3+B62/10000</f>
        <v/>
      </c>
      <c r="F62" s="6">
        <f>D62*EXP((E62+Inputs!$B$4-Inputs!$B$5-Inputs!$B$6)*C62/365)</f>
        <v/>
      </c>
      <c r="G62" s="6">
        <f>F62-Inputs!$B$8</f>
        <v/>
      </c>
      <c r="H62" s="6">
        <f>D62*(1+(E62+Inputs!$B$4-Inputs!$B$5-Inputs!$B$6))^(C62/365)</f>
        <v/>
      </c>
    </row>
    <row r="63">
      <c r="A63" s="4" t="n">
        <v>0.05</v>
      </c>
      <c r="B63" s="2" t="n">
        <v>-100</v>
      </c>
      <c r="C63" s="2" t="n">
        <v>30</v>
      </c>
      <c r="D63">
        <f>Inputs!$B$2*(1+A63)</f>
        <v/>
      </c>
      <c r="E63" s="5">
        <f>Inputs!$B$3+B63/10000</f>
        <v/>
      </c>
      <c r="F63" s="6">
        <f>D63*EXP((E63+Inputs!$B$4-Inputs!$B$5-Inputs!$B$6)*C63/365)</f>
        <v/>
      </c>
      <c r="G63" s="6">
        <f>F63-Inputs!$B$8</f>
        <v/>
      </c>
      <c r="H63" s="6">
        <f>D63*(1+(E63+Inputs!$B$4-Inputs!$B$5-Inputs!$B$6))^(C63/365)</f>
        <v/>
      </c>
    </row>
    <row r="64">
      <c r="A64" s="4" t="n">
        <v>0.05</v>
      </c>
      <c r="B64" s="2" t="n">
        <v>-100</v>
      </c>
      <c r="C64" s="2" t="n">
        <v>7</v>
      </c>
      <c r="D64">
        <f>Inputs!$B$2*(1+A64)</f>
        <v/>
      </c>
      <c r="E64" s="5">
        <f>Inputs!$B$3+B64/10000</f>
        <v/>
      </c>
      <c r="F64" s="6">
        <f>D64*EXP((E64+Inputs!$B$4-Inputs!$B$5-Inputs!$B$6)*C64/365)</f>
        <v/>
      </c>
      <c r="G64" s="6">
        <f>F64-Inputs!$B$8</f>
        <v/>
      </c>
      <c r="H64" s="6">
        <f>D64*(1+(E64+Inputs!$B$4-Inputs!$B$5-Inputs!$B$6))^(C64/365)</f>
        <v/>
      </c>
    </row>
    <row r="65">
      <c r="A65" s="4" t="n">
        <v>0.05</v>
      </c>
      <c r="B65" s="2" t="n">
        <v>-100</v>
      </c>
      <c r="C65" s="2" t="n">
        <v>0</v>
      </c>
      <c r="D65">
        <f>Inputs!$B$2*(1+A65)</f>
        <v/>
      </c>
      <c r="E65" s="5">
        <f>Inputs!$B$3+B65/10000</f>
        <v/>
      </c>
      <c r="F65" s="6">
        <f>D65*EXP((E65+Inputs!$B$4-Inputs!$B$5-Inputs!$B$6)*C65/365)</f>
        <v/>
      </c>
      <c r="G65" s="6">
        <f>F65-Inputs!$B$8</f>
        <v/>
      </c>
      <c r="H65" s="6">
        <f>D65*(1+(E65+Inputs!$B$4-Inputs!$B$5-Inputs!$B$6))^(C65/365)</f>
        <v/>
      </c>
    </row>
    <row r="66">
      <c r="A66" s="4" t="n">
        <v>0.05</v>
      </c>
      <c r="B66" s="2" t="n">
        <v>-50</v>
      </c>
      <c r="C66" s="2" t="n">
        <v>70</v>
      </c>
      <c r="D66">
        <f>Inputs!$B$2*(1+A66)</f>
        <v/>
      </c>
      <c r="E66" s="5">
        <f>Inputs!$B$3+B66/10000</f>
        <v/>
      </c>
      <c r="F66" s="6">
        <f>D66*EXP((E66+Inputs!$B$4-Inputs!$B$5-Inputs!$B$6)*C66/365)</f>
        <v/>
      </c>
      <c r="G66" s="6">
        <f>F66-Inputs!$B$8</f>
        <v/>
      </c>
      <c r="H66" s="6">
        <f>D66*(1+(E66+Inputs!$B$4-Inputs!$B$5-Inputs!$B$6))^(C66/365)</f>
        <v/>
      </c>
    </row>
    <row r="67">
      <c r="A67" s="4" t="n">
        <v>0.05</v>
      </c>
      <c r="B67" s="2" t="n">
        <v>-50</v>
      </c>
      <c r="C67" s="2" t="n">
        <v>30</v>
      </c>
      <c r="D67">
        <f>Inputs!$B$2*(1+A67)</f>
        <v/>
      </c>
      <c r="E67" s="5">
        <f>Inputs!$B$3+B67/10000</f>
        <v/>
      </c>
      <c r="F67" s="6">
        <f>D67*EXP((E67+Inputs!$B$4-Inputs!$B$5-Inputs!$B$6)*C67/365)</f>
        <v/>
      </c>
      <c r="G67" s="6">
        <f>F67-Inputs!$B$8</f>
        <v/>
      </c>
      <c r="H67" s="6">
        <f>D67*(1+(E67+Inputs!$B$4-Inputs!$B$5-Inputs!$B$6))^(C67/365)</f>
        <v/>
      </c>
    </row>
    <row r="68">
      <c r="A68" s="4" t="n">
        <v>0.05</v>
      </c>
      <c r="B68" s="2" t="n">
        <v>-50</v>
      </c>
      <c r="C68" s="2" t="n">
        <v>7</v>
      </c>
      <c r="D68">
        <f>Inputs!$B$2*(1+A68)</f>
        <v/>
      </c>
      <c r="E68" s="5">
        <f>Inputs!$B$3+B68/10000</f>
        <v/>
      </c>
      <c r="F68" s="6">
        <f>D68*EXP((E68+Inputs!$B$4-Inputs!$B$5-Inputs!$B$6)*C68/365)</f>
        <v/>
      </c>
      <c r="G68" s="6">
        <f>F68-Inputs!$B$8</f>
        <v/>
      </c>
      <c r="H68" s="6">
        <f>D68*(1+(E68+Inputs!$B$4-Inputs!$B$5-Inputs!$B$6))^(C68/365)</f>
        <v/>
      </c>
    </row>
    <row r="69">
      <c r="A69" s="4" t="n">
        <v>0.05</v>
      </c>
      <c r="B69" s="2" t="n">
        <v>-50</v>
      </c>
      <c r="C69" s="2" t="n">
        <v>0</v>
      </c>
      <c r="D69">
        <f>Inputs!$B$2*(1+A69)</f>
        <v/>
      </c>
      <c r="E69" s="5">
        <f>Inputs!$B$3+B69/10000</f>
        <v/>
      </c>
      <c r="F69" s="6">
        <f>D69*EXP((E69+Inputs!$B$4-Inputs!$B$5-Inputs!$B$6)*C69/365)</f>
        <v/>
      </c>
      <c r="G69" s="6">
        <f>F69-Inputs!$B$8</f>
        <v/>
      </c>
      <c r="H69" s="6">
        <f>D69*(1+(E69+Inputs!$B$4-Inputs!$B$5-Inputs!$B$6))^(C69/365)</f>
        <v/>
      </c>
    </row>
    <row r="70">
      <c r="A70" s="4" t="n">
        <v>0.05</v>
      </c>
      <c r="B70" s="2" t="n">
        <v>0</v>
      </c>
      <c r="C70" s="2" t="n">
        <v>70</v>
      </c>
      <c r="D70">
        <f>Inputs!$B$2*(1+A70)</f>
        <v/>
      </c>
      <c r="E70" s="5">
        <f>Inputs!$B$3+B70/10000</f>
        <v/>
      </c>
      <c r="F70" s="6">
        <f>D70*EXP((E70+Inputs!$B$4-Inputs!$B$5-Inputs!$B$6)*C70/365)</f>
        <v/>
      </c>
      <c r="G70" s="6">
        <f>F70-Inputs!$B$8</f>
        <v/>
      </c>
      <c r="H70" s="6">
        <f>D70*(1+(E70+Inputs!$B$4-Inputs!$B$5-Inputs!$B$6))^(C70/365)</f>
        <v/>
      </c>
    </row>
    <row r="71">
      <c r="A71" s="4" t="n">
        <v>0.05</v>
      </c>
      <c r="B71" s="2" t="n">
        <v>0</v>
      </c>
      <c r="C71" s="2" t="n">
        <v>30</v>
      </c>
      <c r="D71">
        <f>Inputs!$B$2*(1+A71)</f>
        <v/>
      </c>
      <c r="E71" s="5">
        <f>Inputs!$B$3+B71/10000</f>
        <v/>
      </c>
      <c r="F71" s="6">
        <f>D71*EXP((E71+Inputs!$B$4-Inputs!$B$5-Inputs!$B$6)*C71/365)</f>
        <v/>
      </c>
      <c r="G71" s="6">
        <f>F71-Inputs!$B$8</f>
        <v/>
      </c>
      <c r="H71" s="6">
        <f>D71*(1+(E71+Inputs!$B$4-Inputs!$B$5-Inputs!$B$6))^(C71/365)</f>
        <v/>
      </c>
    </row>
    <row r="72">
      <c r="A72" s="4" t="n">
        <v>0.05</v>
      </c>
      <c r="B72" s="2" t="n">
        <v>0</v>
      </c>
      <c r="C72" s="2" t="n">
        <v>7</v>
      </c>
      <c r="D72">
        <f>Inputs!$B$2*(1+A72)</f>
        <v/>
      </c>
      <c r="E72" s="5">
        <f>Inputs!$B$3+B72/10000</f>
        <v/>
      </c>
      <c r="F72" s="6">
        <f>D72*EXP((E72+Inputs!$B$4-Inputs!$B$5-Inputs!$B$6)*C72/365)</f>
        <v/>
      </c>
      <c r="G72" s="6">
        <f>F72-Inputs!$B$8</f>
        <v/>
      </c>
      <c r="H72" s="6">
        <f>D72*(1+(E72+Inputs!$B$4-Inputs!$B$5-Inputs!$B$6))^(C72/365)</f>
        <v/>
      </c>
    </row>
    <row r="73">
      <c r="A73" s="4" t="n">
        <v>0.05</v>
      </c>
      <c r="B73" s="2" t="n">
        <v>0</v>
      </c>
      <c r="C73" s="2" t="n">
        <v>0</v>
      </c>
      <c r="D73">
        <f>Inputs!$B$2*(1+A73)</f>
        <v/>
      </c>
      <c r="E73" s="5">
        <f>Inputs!$B$3+B73/10000</f>
        <v/>
      </c>
      <c r="F73" s="6">
        <f>D73*EXP((E73+Inputs!$B$4-Inputs!$B$5-Inputs!$B$6)*C73/365)</f>
        <v/>
      </c>
      <c r="G73" s="6">
        <f>F73-Inputs!$B$8</f>
        <v/>
      </c>
      <c r="H73" s="6">
        <f>D73*(1+(E73+Inputs!$B$4-Inputs!$B$5-Inputs!$B$6))^(C73/365)</f>
        <v/>
      </c>
    </row>
    <row r="74">
      <c r="A74" s="4" t="n">
        <v>0.05</v>
      </c>
      <c r="B74" s="2" t="n">
        <v>50</v>
      </c>
      <c r="C74" s="2" t="n">
        <v>70</v>
      </c>
      <c r="D74">
        <f>Inputs!$B$2*(1+A74)</f>
        <v/>
      </c>
      <c r="E74" s="5">
        <f>Inputs!$B$3+B74/10000</f>
        <v/>
      </c>
      <c r="F74" s="6">
        <f>D74*EXP((E74+Inputs!$B$4-Inputs!$B$5-Inputs!$B$6)*C74/365)</f>
        <v/>
      </c>
      <c r="G74" s="6">
        <f>F74-Inputs!$B$8</f>
        <v/>
      </c>
      <c r="H74" s="6">
        <f>D74*(1+(E74+Inputs!$B$4-Inputs!$B$5-Inputs!$B$6))^(C74/365)</f>
        <v/>
      </c>
    </row>
    <row r="75">
      <c r="A75" s="4" t="n">
        <v>0.05</v>
      </c>
      <c r="B75" s="2" t="n">
        <v>50</v>
      </c>
      <c r="C75" s="2" t="n">
        <v>30</v>
      </c>
      <c r="D75">
        <f>Inputs!$B$2*(1+A75)</f>
        <v/>
      </c>
      <c r="E75" s="5">
        <f>Inputs!$B$3+B75/10000</f>
        <v/>
      </c>
      <c r="F75" s="6">
        <f>D75*EXP((E75+Inputs!$B$4-Inputs!$B$5-Inputs!$B$6)*C75/365)</f>
        <v/>
      </c>
      <c r="G75" s="6">
        <f>F75-Inputs!$B$8</f>
        <v/>
      </c>
      <c r="H75" s="6">
        <f>D75*(1+(E75+Inputs!$B$4-Inputs!$B$5-Inputs!$B$6))^(C75/365)</f>
        <v/>
      </c>
    </row>
    <row r="76">
      <c r="A76" s="4" t="n">
        <v>0.05</v>
      </c>
      <c r="B76" s="2" t="n">
        <v>50</v>
      </c>
      <c r="C76" s="2" t="n">
        <v>7</v>
      </c>
      <c r="D76">
        <f>Inputs!$B$2*(1+A76)</f>
        <v/>
      </c>
      <c r="E76" s="5">
        <f>Inputs!$B$3+B76/10000</f>
        <v/>
      </c>
      <c r="F76" s="6">
        <f>D76*EXP((E76+Inputs!$B$4-Inputs!$B$5-Inputs!$B$6)*C76/365)</f>
        <v/>
      </c>
      <c r="G76" s="6">
        <f>F76-Inputs!$B$8</f>
        <v/>
      </c>
      <c r="H76" s="6">
        <f>D76*(1+(E76+Inputs!$B$4-Inputs!$B$5-Inputs!$B$6))^(C76/365)</f>
        <v/>
      </c>
    </row>
    <row r="77">
      <c r="A77" s="4" t="n">
        <v>0.05</v>
      </c>
      <c r="B77" s="2" t="n">
        <v>50</v>
      </c>
      <c r="C77" s="2" t="n">
        <v>0</v>
      </c>
      <c r="D77">
        <f>Inputs!$B$2*(1+A77)</f>
        <v/>
      </c>
      <c r="E77" s="5">
        <f>Inputs!$B$3+B77/10000</f>
        <v/>
      </c>
      <c r="F77" s="6">
        <f>D77*EXP((E77+Inputs!$B$4-Inputs!$B$5-Inputs!$B$6)*C77/365)</f>
        <v/>
      </c>
      <c r="G77" s="6">
        <f>F77-Inputs!$B$8</f>
        <v/>
      </c>
      <c r="H77" s="6">
        <f>D77*(1+(E77+Inputs!$B$4-Inputs!$B$5-Inputs!$B$6))^(C77/365)</f>
        <v/>
      </c>
    </row>
    <row r="78">
      <c r="A78" s="4" t="n">
        <v>0.05</v>
      </c>
      <c r="B78" s="2" t="n">
        <v>100</v>
      </c>
      <c r="C78" s="2" t="n">
        <v>70</v>
      </c>
      <c r="D78">
        <f>Inputs!$B$2*(1+A78)</f>
        <v/>
      </c>
      <c r="E78" s="5">
        <f>Inputs!$B$3+B78/10000</f>
        <v/>
      </c>
      <c r="F78" s="6">
        <f>D78*EXP((E78+Inputs!$B$4-Inputs!$B$5-Inputs!$B$6)*C78/365)</f>
        <v/>
      </c>
      <c r="G78" s="6">
        <f>F78-Inputs!$B$8</f>
        <v/>
      </c>
      <c r="H78" s="6">
        <f>D78*(1+(E78+Inputs!$B$4-Inputs!$B$5-Inputs!$B$6))^(C78/365)</f>
        <v/>
      </c>
    </row>
    <row r="79">
      <c r="A79" s="4" t="n">
        <v>0.05</v>
      </c>
      <c r="B79" s="2" t="n">
        <v>100</v>
      </c>
      <c r="C79" s="2" t="n">
        <v>30</v>
      </c>
      <c r="D79">
        <f>Inputs!$B$2*(1+A79)</f>
        <v/>
      </c>
      <c r="E79" s="5">
        <f>Inputs!$B$3+B79/10000</f>
        <v/>
      </c>
      <c r="F79" s="6">
        <f>D79*EXP((E79+Inputs!$B$4-Inputs!$B$5-Inputs!$B$6)*C79/365)</f>
        <v/>
      </c>
      <c r="G79" s="6">
        <f>F79-Inputs!$B$8</f>
        <v/>
      </c>
      <c r="H79" s="6">
        <f>D79*(1+(E79+Inputs!$B$4-Inputs!$B$5-Inputs!$B$6))^(C79/365)</f>
        <v/>
      </c>
    </row>
    <row r="80">
      <c r="A80" s="4" t="n">
        <v>0.05</v>
      </c>
      <c r="B80" s="2" t="n">
        <v>100</v>
      </c>
      <c r="C80" s="2" t="n">
        <v>7</v>
      </c>
      <c r="D80">
        <f>Inputs!$B$2*(1+A80)</f>
        <v/>
      </c>
      <c r="E80" s="5">
        <f>Inputs!$B$3+B80/10000</f>
        <v/>
      </c>
      <c r="F80" s="6">
        <f>D80*EXP((E80+Inputs!$B$4-Inputs!$B$5-Inputs!$B$6)*C80/365)</f>
        <v/>
      </c>
      <c r="G80" s="6">
        <f>F80-Inputs!$B$8</f>
        <v/>
      </c>
      <c r="H80" s="6">
        <f>D80*(1+(E80+Inputs!$B$4-Inputs!$B$5-Inputs!$B$6))^(C80/365)</f>
        <v/>
      </c>
    </row>
    <row r="81">
      <c r="A81" s="4" t="n">
        <v>0.05</v>
      </c>
      <c r="B81" s="2" t="n">
        <v>100</v>
      </c>
      <c r="C81" s="2" t="n">
        <v>0</v>
      </c>
      <c r="D81">
        <f>Inputs!$B$2*(1+A81)</f>
        <v/>
      </c>
      <c r="E81" s="5">
        <f>Inputs!$B$3+B81/10000</f>
        <v/>
      </c>
      <c r="F81" s="6">
        <f>D81*EXP((E81+Inputs!$B$4-Inputs!$B$5-Inputs!$B$6)*C81/365)</f>
        <v/>
      </c>
      <c r="G81" s="6">
        <f>F81-Inputs!$B$8</f>
        <v/>
      </c>
      <c r="H81" s="6">
        <f>D81*(1+(E81+Inputs!$B$4-Inputs!$B$5-Inputs!$B$6))^(C81/365)</f>
        <v/>
      </c>
    </row>
    <row r="82">
      <c r="A82" s="4" t="n">
        <v>0.1</v>
      </c>
      <c r="B82" s="2" t="n">
        <v>-100</v>
      </c>
      <c r="C82" s="2" t="n">
        <v>70</v>
      </c>
      <c r="D82">
        <f>Inputs!$B$2*(1+A82)</f>
        <v/>
      </c>
      <c r="E82" s="5">
        <f>Inputs!$B$3+B82/10000</f>
        <v/>
      </c>
      <c r="F82" s="6">
        <f>D82*EXP((E82+Inputs!$B$4-Inputs!$B$5-Inputs!$B$6)*C82/365)</f>
        <v/>
      </c>
      <c r="G82" s="6">
        <f>F82-Inputs!$B$8</f>
        <v/>
      </c>
      <c r="H82" s="6">
        <f>D82*(1+(E82+Inputs!$B$4-Inputs!$B$5-Inputs!$B$6))^(C82/365)</f>
        <v/>
      </c>
    </row>
    <row r="83">
      <c r="A83" s="4" t="n">
        <v>0.1</v>
      </c>
      <c r="B83" s="2" t="n">
        <v>-100</v>
      </c>
      <c r="C83" s="2" t="n">
        <v>30</v>
      </c>
      <c r="D83">
        <f>Inputs!$B$2*(1+A83)</f>
        <v/>
      </c>
      <c r="E83" s="5">
        <f>Inputs!$B$3+B83/10000</f>
        <v/>
      </c>
      <c r="F83" s="6">
        <f>D83*EXP((E83+Inputs!$B$4-Inputs!$B$5-Inputs!$B$6)*C83/365)</f>
        <v/>
      </c>
      <c r="G83" s="6">
        <f>F83-Inputs!$B$8</f>
        <v/>
      </c>
      <c r="H83" s="6">
        <f>D83*(1+(E83+Inputs!$B$4-Inputs!$B$5-Inputs!$B$6))^(C83/365)</f>
        <v/>
      </c>
    </row>
    <row r="84">
      <c r="A84" s="4" t="n">
        <v>0.1</v>
      </c>
      <c r="B84" s="2" t="n">
        <v>-100</v>
      </c>
      <c r="C84" s="2" t="n">
        <v>7</v>
      </c>
      <c r="D84">
        <f>Inputs!$B$2*(1+A84)</f>
        <v/>
      </c>
      <c r="E84" s="5">
        <f>Inputs!$B$3+B84/10000</f>
        <v/>
      </c>
      <c r="F84" s="6">
        <f>D84*EXP((E84+Inputs!$B$4-Inputs!$B$5-Inputs!$B$6)*C84/365)</f>
        <v/>
      </c>
      <c r="G84" s="6">
        <f>F84-Inputs!$B$8</f>
        <v/>
      </c>
      <c r="H84" s="6">
        <f>D84*(1+(E84+Inputs!$B$4-Inputs!$B$5-Inputs!$B$6))^(C84/365)</f>
        <v/>
      </c>
    </row>
    <row r="85">
      <c r="A85" s="4" t="n">
        <v>0.1</v>
      </c>
      <c r="B85" s="2" t="n">
        <v>-100</v>
      </c>
      <c r="C85" s="2" t="n">
        <v>0</v>
      </c>
      <c r="D85">
        <f>Inputs!$B$2*(1+A85)</f>
        <v/>
      </c>
      <c r="E85" s="5">
        <f>Inputs!$B$3+B85/10000</f>
        <v/>
      </c>
      <c r="F85" s="6">
        <f>D85*EXP((E85+Inputs!$B$4-Inputs!$B$5-Inputs!$B$6)*C85/365)</f>
        <v/>
      </c>
      <c r="G85" s="6">
        <f>F85-Inputs!$B$8</f>
        <v/>
      </c>
      <c r="H85" s="6">
        <f>D85*(1+(E85+Inputs!$B$4-Inputs!$B$5-Inputs!$B$6))^(C85/365)</f>
        <v/>
      </c>
    </row>
    <row r="86">
      <c r="A86" s="4" t="n">
        <v>0.1</v>
      </c>
      <c r="B86" s="2" t="n">
        <v>-50</v>
      </c>
      <c r="C86" s="2" t="n">
        <v>70</v>
      </c>
      <c r="D86">
        <f>Inputs!$B$2*(1+A86)</f>
        <v/>
      </c>
      <c r="E86" s="5">
        <f>Inputs!$B$3+B86/10000</f>
        <v/>
      </c>
      <c r="F86" s="6">
        <f>D86*EXP((E86+Inputs!$B$4-Inputs!$B$5-Inputs!$B$6)*C86/365)</f>
        <v/>
      </c>
      <c r="G86" s="6">
        <f>F86-Inputs!$B$8</f>
        <v/>
      </c>
      <c r="H86" s="6">
        <f>D86*(1+(E86+Inputs!$B$4-Inputs!$B$5-Inputs!$B$6))^(C86/365)</f>
        <v/>
      </c>
    </row>
    <row r="87">
      <c r="A87" s="4" t="n">
        <v>0.1</v>
      </c>
      <c r="B87" s="2" t="n">
        <v>-50</v>
      </c>
      <c r="C87" s="2" t="n">
        <v>30</v>
      </c>
      <c r="D87">
        <f>Inputs!$B$2*(1+A87)</f>
        <v/>
      </c>
      <c r="E87" s="5">
        <f>Inputs!$B$3+B87/10000</f>
        <v/>
      </c>
      <c r="F87" s="6">
        <f>D87*EXP((E87+Inputs!$B$4-Inputs!$B$5-Inputs!$B$6)*C87/365)</f>
        <v/>
      </c>
      <c r="G87" s="6">
        <f>F87-Inputs!$B$8</f>
        <v/>
      </c>
      <c r="H87" s="6">
        <f>D87*(1+(E87+Inputs!$B$4-Inputs!$B$5-Inputs!$B$6))^(C87/365)</f>
        <v/>
      </c>
    </row>
    <row r="88">
      <c r="A88" s="4" t="n">
        <v>0.1</v>
      </c>
      <c r="B88" s="2" t="n">
        <v>-50</v>
      </c>
      <c r="C88" s="2" t="n">
        <v>7</v>
      </c>
      <c r="D88">
        <f>Inputs!$B$2*(1+A88)</f>
        <v/>
      </c>
      <c r="E88" s="5">
        <f>Inputs!$B$3+B88/10000</f>
        <v/>
      </c>
      <c r="F88" s="6">
        <f>D88*EXP((E88+Inputs!$B$4-Inputs!$B$5-Inputs!$B$6)*C88/365)</f>
        <v/>
      </c>
      <c r="G88" s="6">
        <f>F88-Inputs!$B$8</f>
        <v/>
      </c>
      <c r="H88" s="6">
        <f>D88*(1+(E88+Inputs!$B$4-Inputs!$B$5-Inputs!$B$6))^(C88/365)</f>
        <v/>
      </c>
    </row>
    <row r="89">
      <c r="A89" s="4" t="n">
        <v>0.1</v>
      </c>
      <c r="B89" s="2" t="n">
        <v>-50</v>
      </c>
      <c r="C89" s="2" t="n">
        <v>0</v>
      </c>
      <c r="D89">
        <f>Inputs!$B$2*(1+A89)</f>
        <v/>
      </c>
      <c r="E89" s="5">
        <f>Inputs!$B$3+B89/10000</f>
        <v/>
      </c>
      <c r="F89" s="6">
        <f>D89*EXP((E89+Inputs!$B$4-Inputs!$B$5-Inputs!$B$6)*C89/365)</f>
        <v/>
      </c>
      <c r="G89" s="6">
        <f>F89-Inputs!$B$8</f>
        <v/>
      </c>
      <c r="H89" s="6">
        <f>D89*(1+(E89+Inputs!$B$4-Inputs!$B$5-Inputs!$B$6))^(C89/365)</f>
        <v/>
      </c>
    </row>
    <row r="90">
      <c r="A90" s="4" t="n">
        <v>0.1</v>
      </c>
      <c r="B90" s="2" t="n">
        <v>0</v>
      </c>
      <c r="C90" s="2" t="n">
        <v>70</v>
      </c>
      <c r="D90">
        <f>Inputs!$B$2*(1+A90)</f>
        <v/>
      </c>
      <c r="E90" s="5">
        <f>Inputs!$B$3+B90/10000</f>
        <v/>
      </c>
      <c r="F90" s="6">
        <f>D90*EXP((E90+Inputs!$B$4-Inputs!$B$5-Inputs!$B$6)*C90/365)</f>
        <v/>
      </c>
      <c r="G90" s="6">
        <f>F90-Inputs!$B$8</f>
        <v/>
      </c>
      <c r="H90" s="6">
        <f>D90*(1+(E90+Inputs!$B$4-Inputs!$B$5-Inputs!$B$6))^(C90/365)</f>
        <v/>
      </c>
    </row>
    <row r="91">
      <c r="A91" s="4" t="n">
        <v>0.1</v>
      </c>
      <c r="B91" s="2" t="n">
        <v>0</v>
      </c>
      <c r="C91" s="2" t="n">
        <v>30</v>
      </c>
      <c r="D91">
        <f>Inputs!$B$2*(1+A91)</f>
        <v/>
      </c>
      <c r="E91" s="5">
        <f>Inputs!$B$3+B91/10000</f>
        <v/>
      </c>
      <c r="F91" s="6">
        <f>D91*EXP((E91+Inputs!$B$4-Inputs!$B$5-Inputs!$B$6)*C91/365)</f>
        <v/>
      </c>
      <c r="G91" s="6">
        <f>F91-Inputs!$B$8</f>
        <v/>
      </c>
      <c r="H91" s="6">
        <f>D91*(1+(E91+Inputs!$B$4-Inputs!$B$5-Inputs!$B$6))^(C91/365)</f>
        <v/>
      </c>
    </row>
    <row r="92">
      <c r="A92" s="4" t="n">
        <v>0.1</v>
      </c>
      <c r="B92" s="2" t="n">
        <v>0</v>
      </c>
      <c r="C92" s="2" t="n">
        <v>7</v>
      </c>
      <c r="D92">
        <f>Inputs!$B$2*(1+A92)</f>
        <v/>
      </c>
      <c r="E92" s="5">
        <f>Inputs!$B$3+B92/10000</f>
        <v/>
      </c>
      <c r="F92" s="6">
        <f>D92*EXP((E92+Inputs!$B$4-Inputs!$B$5-Inputs!$B$6)*C92/365)</f>
        <v/>
      </c>
      <c r="G92" s="6">
        <f>F92-Inputs!$B$8</f>
        <v/>
      </c>
      <c r="H92" s="6">
        <f>D92*(1+(E92+Inputs!$B$4-Inputs!$B$5-Inputs!$B$6))^(C92/365)</f>
        <v/>
      </c>
    </row>
    <row r="93">
      <c r="A93" s="4" t="n">
        <v>0.1</v>
      </c>
      <c r="B93" s="2" t="n">
        <v>0</v>
      </c>
      <c r="C93" s="2" t="n">
        <v>0</v>
      </c>
      <c r="D93">
        <f>Inputs!$B$2*(1+A93)</f>
        <v/>
      </c>
      <c r="E93" s="5">
        <f>Inputs!$B$3+B93/10000</f>
        <v/>
      </c>
      <c r="F93" s="6">
        <f>D93*EXP((E93+Inputs!$B$4-Inputs!$B$5-Inputs!$B$6)*C93/365)</f>
        <v/>
      </c>
      <c r="G93" s="6">
        <f>F93-Inputs!$B$8</f>
        <v/>
      </c>
      <c r="H93" s="6">
        <f>D93*(1+(E93+Inputs!$B$4-Inputs!$B$5-Inputs!$B$6))^(C93/365)</f>
        <v/>
      </c>
    </row>
    <row r="94">
      <c r="A94" s="4" t="n">
        <v>0.1</v>
      </c>
      <c r="B94" s="2" t="n">
        <v>50</v>
      </c>
      <c r="C94" s="2" t="n">
        <v>70</v>
      </c>
      <c r="D94">
        <f>Inputs!$B$2*(1+A94)</f>
        <v/>
      </c>
      <c r="E94" s="5">
        <f>Inputs!$B$3+B94/10000</f>
        <v/>
      </c>
      <c r="F94" s="6">
        <f>D94*EXP((E94+Inputs!$B$4-Inputs!$B$5-Inputs!$B$6)*C94/365)</f>
        <v/>
      </c>
      <c r="G94" s="6">
        <f>F94-Inputs!$B$8</f>
        <v/>
      </c>
      <c r="H94" s="6">
        <f>D94*(1+(E94+Inputs!$B$4-Inputs!$B$5-Inputs!$B$6))^(C94/365)</f>
        <v/>
      </c>
    </row>
    <row r="95">
      <c r="A95" s="4" t="n">
        <v>0.1</v>
      </c>
      <c r="B95" s="2" t="n">
        <v>50</v>
      </c>
      <c r="C95" s="2" t="n">
        <v>30</v>
      </c>
      <c r="D95">
        <f>Inputs!$B$2*(1+A95)</f>
        <v/>
      </c>
      <c r="E95" s="5">
        <f>Inputs!$B$3+B95/10000</f>
        <v/>
      </c>
      <c r="F95" s="6">
        <f>D95*EXP((E95+Inputs!$B$4-Inputs!$B$5-Inputs!$B$6)*C95/365)</f>
        <v/>
      </c>
      <c r="G95" s="6">
        <f>F95-Inputs!$B$8</f>
        <v/>
      </c>
      <c r="H95" s="6">
        <f>D95*(1+(E95+Inputs!$B$4-Inputs!$B$5-Inputs!$B$6))^(C95/365)</f>
        <v/>
      </c>
    </row>
    <row r="96">
      <c r="A96" s="4" t="n">
        <v>0.1</v>
      </c>
      <c r="B96" s="2" t="n">
        <v>50</v>
      </c>
      <c r="C96" s="2" t="n">
        <v>7</v>
      </c>
      <c r="D96">
        <f>Inputs!$B$2*(1+A96)</f>
        <v/>
      </c>
      <c r="E96" s="5">
        <f>Inputs!$B$3+B96/10000</f>
        <v/>
      </c>
      <c r="F96" s="6">
        <f>D96*EXP((E96+Inputs!$B$4-Inputs!$B$5-Inputs!$B$6)*C96/365)</f>
        <v/>
      </c>
      <c r="G96" s="6">
        <f>F96-Inputs!$B$8</f>
        <v/>
      </c>
      <c r="H96" s="6">
        <f>D96*(1+(E96+Inputs!$B$4-Inputs!$B$5-Inputs!$B$6))^(C96/365)</f>
        <v/>
      </c>
    </row>
    <row r="97">
      <c r="A97" s="4" t="n">
        <v>0.1</v>
      </c>
      <c r="B97" s="2" t="n">
        <v>50</v>
      </c>
      <c r="C97" s="2" t="n">
        <v>0</v>
      </c>
      <c r="D97">
        <f>Inputs!$B$2*(1+A97)</f>
        <v/>
      </c>
      <c r="E97" s="5">
        <f>Inputs!$B$3+B97/10000</f>
        <v/>
      </c>
      <c r="F97" s="6">
        <f>D97*EXP((E97+Inputs!$B$4-Inputs!$B$5-Inputs!$B$6)*C97/365)</f>
        <v/>
      </c>
      <c r="G97" s="6">
        <f>F97-Inputs!$B$8</f>
        <v/>
      </c>
      <c r="H97" s="6">
        <f>D97*(1+(E97+Inputs!$B$4-Inputs!$B$5-Inputs!$B$6))^(C97/365)</f>
        <v/>
      </c>
    </row>
    <row r="98">
      <c r="A98" s="4" t="n">
        <v>0.1</v>
      </c>
      <c r="B98" s="2" t="n">
        <v>100</v>
      </c>
      <c r="C98" s="2" t="n">
        <v>70</v>
      </c>
      <c r="D98">
        <f>Inputs!$B$2*(1+A98)</f>
        <v/>
      </c>
      <c r="E98" s="5">
        <f>Inputs!$B$3+B98/10000</f>
        <v/>
      </c>
      <c r="F98" s="6">
        <f>D98*EXP((E98+Inputs!$B$4-Inputs!$B$5-Inputs!$B$6)*C98/365)</f>
        <v/>
      </c>
      <c r="G98" s="6">
        <f>F98-Inputs!$B$8</f>
        <v/>
      </c>
      <c r="H98" s="6">
        <f>D98*(1+(E98+Inputs!$B$4-Inputs!$B$5-Inputs!$B$6))^(C98/365)</f>
        <v/>
      </c>
    </row>
    <row r="99">
      <c r="A99" s="4" t="n">
        <v>0.1</v>
      </c>
      <c r="B99" s="2" t="n">
        <v>100</v>
      </c>
      <c r="C99" s="2" t="n">
        <v>30</v>
      </c>
      <c r="D99">
        <f>Inputs!$B$2*(1+A99)</f>
        <v/>
      </c>
      <c r="E99" s="5">
        <f>Inputs!$B$3+B99/10000</f>
        <v/>
      </c>
      <c r="F99" s="6">
        <f>D99*EXP((E99+Inputs!$B$4-Inputs!$B$5-Inputs!$B$6)*C99/365)</f>
        <v/>
      </c>
      <c r="G99" s="6">
        <f>F99-Inputs!$B$8</f>
        <v/>
      </c>
      <c r="H99" s="6">
        <f>D99*(1+(E99+Inputs!$B$4-Inputs!$B$5-Inputs!$B$6))^(C99/365)</f>
        <v/>
      </c>
    </row>
    <row r="100">
      <c r="A100" s="4" t="n">
        <v>0.1</v>
      </c>
      <c r="B100" s="2" t="n">
        <v>100</v>
      </c>
      <c r="C100" s="2" t="n">
        <v>7</v>
      </c>
      <c r="D100">
        <f>Inputs!$B$2*(1+A100)</f>
        <v/>
      </c>
      <c r="E100" s="5">
        <f>Inputs!$B$3+B100/10000</f>
        <v/>
      </c>
      <c r="F100" s="6">
        <f>D100*EXP((E100+Inputs!$B$4-Inputs!$B$5-Inputs!$B$6)*C100/365)</f>
        <v/>
      </c>
      <c r="G100" s="6">
        <f>F100-Inputs!$B$8</f>
        <v/>
      </c>
      <c r="H100" s="6">
        <f>D100*(1+(E100+Inputs!$B$4-Inputs!$B$5-Inputs!$B$6))^(C100/365)</f>
        <v/>
      </c>
    </row>
    <row r="101">
      <c r="A101" s="4" t="n">
        <v>0.1</v>
      </c>
      <c r="B101" s="2" t="n">
        <v>100</v>
      </c>
      <c r="C101" s="2" t="n">
        <v>0</v>
      </c>
      <c r="D101">
        <f>Inputs!$B$2*(1+A101)</f>
        <v/>
      </c>
      <c r="E101" s="5">
        <f>Inputs!$B$3+B101/10000</f>
        <v/>
      </c>
      <c r="F101" s="6">
        <f>D101*EXP((E101+Inputs!$B$4-Inputs!$B$5-Inputs!$B$6)*C101/365)</f>
        <v/>
      </c>
      <c r="G101" s="6">
        <f>F101-Inputs!$B$8</f>
        <v/>
      </c>
      <c r="H101" s="6">
        <f>D101*(1+(E101+Inputs!$B$4-Inputs!$B$5-Inputs!$B$6))^(C101/365)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2026-10-10T16:02:13Z</dcterms:created>
  <dcterms:modified xmlns:dcterms="http://purl.org/dc/terms/" xmlns:xsi="http://www.w3.org/2001/XMLSchema-instance" xsi:type="dcterms:W3CDTF">2026-10-10T16:02:13Z</dcterms:modified>
</cp:coreProperties>
</file>